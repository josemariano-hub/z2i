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<sst xmlns="http://schemas.openxmlformats.org/spreadsheetml/2006/main" count="46" uniqueCount="40">
  <si>
    <t xml:space="preserve">Bisat Al-Reeh Family </t>
  </si>
  <si>
    <t>XS</t>
  </si>
  <si>
    <t>S</t>
  </si>
  <si>
    <t>M</t>
  </si>
  <si>
    <t>L</t>
  </si>
  <si>
    <t>XL</t>
  </si>
  <si>
    <t>XXL</t>
  </si>
  <si>
    <t>Cargo (metric tons)</t>
  </si>
  <si>
    <t xml:space="preserve"> CAPEX for 1ST UNIT, NON-RECURRING COST(m€)</t>
  </si>
  <si>
    <t>INCREMENTAL UNIT COST (m€)</t>
  </si>
  <si>
    <t>CAPEX INCREMENT FOR CREWED (m€)</t>
  </si>
  <si>
    <t>N/A</t>
  </si>
  <si>
    <t>INCREMENTAL UNIT COST CREWED (m€)</t>
  </si>
  <si>
    <t>Time to First Unit (months)</t>
  </si>
  <si>
    <t>Time+ to First Crewed Unit (months)</t>
  </si>
  <si>
    <t>Jet Munts</t>
  </si>
  <si>
    <t>Force (N)</t>
  </si>
  <si>
    <t>Cost (€)</t>
  </si>
  <si>
    <t>Options for Initial Budget Elements BAR</t>
  </si>
  <si>
    <t>€</t>
  </si>
  <si>
    <t>Project Leadership JMLU Monthly</t>
  </si>
  <si>
    <t>PCT Patent Filing:</t>
  </si>
  <si>
    <t>Legal fees:</t>
  </si>
  <si>
    <t xml:space="preserve">PCT filing fees: </t>
  </si>
  <si>
    <t>Patent agent fees:</t>
  </si>
  <si>
    <t>Total</t>
  </si>
  <si>
    <t>Brand Registration:</t>
  </si>
  <si>
    <t>US trademark registration fees:</t>
  </si>
  <si>
    <t>EU trademark registration fees:</t>
  </si>
  <si>
    <t xml:space="preserve">KSA trademark registration fees: </t>
  </si>
  <si>
    <t xml:space="preserve">Legal fees: </t>
  </si>
  <si>
    <t>Total:</t>
  </si>
  <si>
    <t>Professional Marketing Package:</t>
  </si>
  <si>
    <t>Video production:</t>
  </si>
  <si>
    <t>Graphic design:</t>
  </si>
  <si>
    <t>Social media presence:</t>
  </si>
  <si>
    <t>Website development:</t>
  </si>
  <si>
    <t>Copywriting of texts:</t>
  </si>
  <si>
    <t>Marketing consultant fees:</t>
  </si>
  <si>
    <t>Budget for  Bisat AlReeh XS (includes JMLU):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</si>
</sst>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Rajdhani"/>
    </font>
    <font>
      <sz val="12.0"/>
      <color theme="1"/>
      <name val="Rajdhani"/>
    </font>
    <font>
      <color theme="1"/>
      <name val="Arial"/>
      <scheme val="minor"/>
    </font>
    <font>
      <b/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4" numFmtId="3" xfId="0" applyAlignment="1" applyFont="1" applyNumberFormat="1">
      <alignment readingOrder="0"/>
    </xf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4" numFmtId="3" xfId="0" applyFont="1" applyNumberFormat="1"/>
    <xf borderId="0" fillId="2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XS, S, M, L and XL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Sheet1!$C$2:$H$2</c:f>
            </c:strRef>
          </c:cat>
          <c:val>
            <c:numRef>
              <c:f>Sheet1!$C$3:$H$3</c:f>
              <c:numCache/>
            </c:numRef>
          </c:val>
          <c:smooth val="1"/>
        </c:ser>
        <c:ser>
          <c:idx val="1"/>
          <c:order val="1"/>
          <c:tx>
            <c:strRef>
              <c:f>Sheet1!$B$4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Sheet1!$C$2:$H$2</c:f>
            </c:strRef>
          </c:cat>
          <c:val>
            <c:numRef>
              <c:f>Sheet1!$C$4:$H$4</c:f>
              <c:numCache/>
            </c:numRef>
          </c:val>
          <c:smooth val="1"/>
        </c:ser>
        <c:ser>
          <c:idx val="2"/>
          <c:order val="2"/>
          <c:tx>
            <c:strRef>
              <c:f>Sheet1!$B$5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Sheet1!$C$2:$H$2</c:f>
            </c:strRef>
          </c:cat>
          <c:val>
            <c:numRef>
              <c:f>Sheet1!$C$5:$H$5</c:f>
              <c:numCache/>
            </c:numRef>
          </c:val>
          <c:smooth val="1"/>
        </c:ser>
        <c:ser>
          <c:idx val="3"/>
          <c:order val="3"/>
          <c:tx>
            <c:strRef>
              <c:f>Sheet1!$B$6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Sheet1!$C$2:$H$2</c:f>
            </c:strRef>
          </c:cat>
          <c:val>
            <c:numRef>
              <c:f>Sheet1!$C$6:$H$6</c:f>
              <c:numCache/>
            </c:numRef>
          </c:val>
          <c:smooth val="1"/>
        </c:ser>
        <c:ser>
          <c:idx val="4"/>
          <c:order val="4"/>
          <c:tx>
            <c:strRef>
              <c:f>Sheet1!$B$7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Sheet1!$C$2:$H$2</c:f>
            </c:strRef>
          </c:cat>
          <c:val>
            <c:numRef>
              <c:f>Sheet1!$C$7:$H$7</c:f>
              <c:numCache/>
            </c:numRef>
          </c:val>
          <c:smooth val="1"/>
        </c:ser>
        <c:ser>
          <c:idx val="5"/>
          <c:order val="5"/>
          <c:tx>
            <c:strRef>
              <c:f>Sheet1!$B$8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Sheet1!$C$2:$H$2</c:f>
            </c:strRef>
          </c:cat>
          <c:val>
            <c:numRef>
              <c:f>Sheet1!$C$8:$H$8</c:f>
              <c:numCache/>
            </c:numRef>
          </c:val>
          <c:smooth val="1"/>
        </c:ser>
        <c:ser>
          <c:idx val="6"/>
          <c:order val="6"/>
          <c:tx>
            <c:strRef>
              <c:f>Sheet1!$B$9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Sheet1!$C$2:$H$2</c:f>
            </c:strRef>
          </c:cat>
          <c:val>
            <c:numRef>
              <c:f>Sheet1!$C$9:$H$9</c:f>
              <c:numCache/>
            </c:numRef>
          </c:val>
          <c:smooth val="1"/>
        </c:ser>
        <c:axId val="1251327319"/>
        <c:axId val="1628073189"/>
      </c:lineChart>
      <c:catAx>
        <c:axId val="1251327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073189"/>
      </c:catAx>
      <c:valAx>
        <c:axId val="1628073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327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24</xdr:row>
      <xdr:rowOff>171450</xdr:rowOff>
    </xdr:from>
    <xdr:ext cx="10210800" cy="632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9.5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>
      <c r="B3" s="3" t="s">
        <v>7</v>
      </c>
      <c r="C3" s="4">
        <v>0.01</v>
      </c>
      <c r="D3" s="4">
        <v>0.1</v>
      </c>
      <c r="E3" s="4">
        <v>0.5</v>
      </c>
      <c r="F3" s="4">
        <v>10.0</v>
      </c>
      <c r="G3" s="4">
        <v>20.0</v>
      </c>
      <c r="H3" s="4">
        <v>100.0</v>
      </c>
    </row>
    <row r="4">
      <c r="B4" s="3" t="s">
        <v>8</v>
      </c>
      <c r="C4" s="4">
        <v>0.3</v>
      </c>
      <c r="D4" s="4">
        <v>1.5</v>
      </c>
      <c r="E4" s="4">
        <v>6.0</v>
      </c>
      <c r="F4" s="4">
        <v>20.0</v>
      </c>
      <c r="G4" s="4">
        <v>35.0</v>
      </c>
      <c r="H4" s="4">
        <v>120.0</v>
      </c>
    </row>
    <row r="5">
      <c r="B5" s="3" t="s">
        <v>9</v>
      </c>
      <c r="C5" s="4">
        <v>0.1</v>
      </c>
      <c r="D5" s="4">
        <v>0.35</v>
      </c>
      <c r="E5" s="4">
        <v>1.0</v>
      </c>
      <c r="F5" s="4">
        <v>10.0</v>
      </c>
      <c r="G5" s="4">
        <v>15.0</v>
      </c>
      <c r="H5" s="4">
        <v>80.0</v>
      </c>
    </row>
    <row r="6">
      <c r="B6" s="3" t="s">
        <v>10</v>
      </c>
      <c r="C6" s="5" t="s">
        <v>11</v>
      </c>
      <c r="D6" s="5" t="s">
        <v>11</v>
      </c>
      <c r="E6" s="4">
        <v>20.0</v>
      </c>
      <c r="F6" s="4">
        <v>50.0</v>
      </c>
      <c r="G6" s="4">
        <v>100.0</v>
      </c>
      <c r="H6" s="4">
        <v>150.0</v>
      </c>
    </row>
    <row r="7">
      <c r="B7" s="3" t="s">
        <v>12</v>
      </c>
      <c r="C7" s="5" t="s">
        <v>11</v>
      </c>
      <c r="D7" s="5" t="s">
        <v>11</v>
      </c>
      <c r="E7" s="4">
        <v>1.5</v>
      </c>
      <c r="F7" s="4">
        <v>15.0</v>
      </c>
      <c r="G7" s="4">
        <v>25.0</v>
      </c>
      <c r="H7" s="4">
        <v>40.0</v>
      </c>
    </row>
    <row r="8">
      <c r="B8" s="3" t="s">
        <v>13</v>
      </c>
      <c r="C8" s="4">
        <v>2.0</v>
      </c>
      <c r="D8" s="4">
        <v>6.0</v>
      </c>
      <c r="E8" s="4">
        <v>9.0</v>
      </c>
      <c r="F8" s="4">
        <v>18.0</v>
      </c>
      <c r="G8" s="4">
        <v>24.0</v>
      </c>
      <c r="H8" s="4">
        <v>36.0</v>
      </c>
    </row>
    <row r="9">
      <c r="B9" s="3" t="s">
        <v>14</v>
      </c>
      <c r="C9" s="5" t="s">
        <v>11</v>
      </c>
      <c r="D9" s="5" t="s">
        <v>11</v>
      </c>
      <c r="E9" s="4">
        <v>9.0</v>
      </c>
      <c r="F9" s="4">
        <v>12.0</v>
      </c>
      <c r="G9" s="4">
        <v>18.0</v>
      </c>
      <c r="H9" s="4">
        <v>24.0</v>
      </c>
    </row>
    <row r="15">
      <c r="E15" s="6" t="s">
        <v>15</v>
      </c>
    </row>
    <row r="16">
      <c r="D16" s="6" t="s">
        <v>16</v>
      </c>
      <c r="E16" s="6">
        <v>250.0</v>
      </c>
    </row>
    <row r="17">
      <c r="D17" s="6" t="s">
        <v>17</v>
      </c>
      <c r="E17" s="6">
        <v>3000.0</v>
      </c>
    </row>
  </sheetData>
  <printOptions gridLines="1" horizontalCentered="1" vertic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4.88"/>
  </cols>
  <sheetData>
    <row r="4">
      <c r="C4" s="7" t="s">
        <v>18</v>
      </c>
      <c r="E4" s="8" t="s">
        <v>19</v>
      </c>
    </row>
    <row r="5">
      <c r="C5" s="7" t="s">
        <v>20</v>
      </c>
      <c r="D5" s="9"/>
      <c r="E5" s="10">
        <v>14000.0</v>
      </c>
    </row>
    <row r="6">
      <c r="E6" s="11"/>
    </row>
    <row r="7">
      <c r="C7" s="7" t="s">
        <v>21</v>
      </c>
      <c r="E7" s="11"/>
    </row>
    <row r="8">
      <c r="E8" s="11"/>
    </row>
    <row r="9">
      <c r="C9" s="6" t="s">
        <v>22</v>
      </c>
      <c r="E9" s="12">
        <v>4000.0</v>
      </c>
    </row>
    <row r="10">
      <c r="C10" s="6" t="s">
        <v>23</v>
      </c>
      <c r="E10" s="12">
        <v>4500.0</v>
      </c>
    </row>
    <row r="11">
      <c r="C11" s="6" t="s">
        <v>24</v>
      </c>
      <c r="E11" s="12">
        <v>3000.0</v>
      </c>
    </row>
    <row r="12">
      <c r="C12" s="7" t="s">
        <v>25</v>
      </c>
      <c r="D12" s="9"/>
      <c r="E12" s="13">
        <f>sum(E9:E11)</f>
        <v>11500</v>
      </c>
    </row>
    <row r="13">
      <c r="E13" s="11"/>
    </row>
    <row r="14">
      <c r="C14" s="7" t="s">
        <v>26</v>
      </c>
      <c r="E14" s="11"/>
    </row>
    <row r="15">
      <c r="E15" s="11"/>
    </row>
    <row r="16">
      <c r="C16" s="6" t="s">
        <v>27</v>
      </c>
      <c r="E16" s="12">
        <v>300.0</v>
      </c>
    </row>
    <row r="17">
      <c r="C17" s="6" t="s">
        <v>28</v>
      </c>
      <c r="E17" s="12">
        <v>1000.0</v>
      </c>
    </row>
    <row r="18">
      <c r="C18" s="6" t="s">
        <v>29</v>
      </c>
      <c r="E18" s="12">
        <v>800.0</v>
      </c>
    </row>
    <row r="19">
      <c r="C19" s="6" t="s">
        <v>30</v>
      </c>
      <c r="E19" s="12">
        <v>2000.0</v>
      </c>
    </row>
    <row r="20">
      <c r="C20" s="7" t="s">
        <v>31</v>
      </c>
      <c r="D20" s="9"/>
      <c r="E20" s="13">
        <f>sum(E16:E19)</f>
        <v>4100</v>
      </c>
    </row>
    <row r="21">
      <c r="E21" s="11"/>
    </row>
    <row r="22">
      <c r="C22" s="7" t="s">
        <v>32</v>
      </c>
      <c r="E22" s="11"/>
    </row>
    <row r="23">
      <c r="E23" s="11"/>
    </row>
    <row r="24">
      <c r="C24" s="6" t="s">
        <v>33</v>
      </c>
      <c r="E24" s="12">
        <v>10000.0</v>
      </c>
    </row>
    <row r="25">
      <c r="C25" s="6" t="s">
        <v>34</v>
      </c>
      <c r="E25" s="12">
        <v>3000.0</v>
      </c>
    </row>
    <row r="26">
      <c r="C26" s="6" t="s">
        <v>35</v>
      </c>
      <c r="E26" s="12">
        <v>2000.0</v>
      </c>
    </row>
    <row r="27">
      <c r="C27" s="6" t="s">
        <v>36</v>
      </c>
      <c r="E27" s="12">
        <v>5000.0</v>
      </c>
    </row>
    <row r="28">
      <c r="C28" s="6" t="s">
        <v>37</v>
      </c>
      <c r="E28" s="12">
        <v>1000.0</v>
      </c>
    </row>
    <row r="29">
      <c r="C29" s="6" t="s">
        <v>38</v>
      </c>
      <c r="E29" s="12">
        <v>3000.0</v>
      </c>
    </row>
    <row r="30">
      <c r="C30" s="6" t="s">
        <v>25</v>
      </c>
      <c r="E30" s="11">
        <f>SUM(E24:E29)</f>
        <v>24000</v>
      </c>
    </row>
    <row r="31">
      <c r="E31" s="11"/>
    </row>
    <row r="32">
      <c r="C32" s="7" t="s">
        <v>39</v>
      </c>
      <c r="D32" s="9"/>
      <c r="E32" s="10">
        <v>250000.0</v>
      </c>
    </row>
    <row r="38">
      <c r="C38" s="14"/>
    </row>
  </sheetData>
  <printOptions gridLines="1" horizontalCentered="1" verticalCentered="1"/>
  <pageMargins bottom="0.75" footer="0.0" header="0.0" left="0.7" right="0.7" top="0.75"/>
  <pageSetup paperSize="9" cellComments="atEnd" orientation="portrait" pageOrder="overThenDown"/>
  <drawing r:id="rId1"/>
</worksheet>
</file>