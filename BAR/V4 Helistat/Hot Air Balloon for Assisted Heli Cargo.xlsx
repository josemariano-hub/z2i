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<sst xmlns="http://schemas.openxmlformats.org/spreadsheetml/2006/main" count="29" uniqueCount="29">
  <si>
    <t>Outside Air Temperature (C)</t>
  </si>
  <si>
    <t>Inside Air Temperature (C)</t>
  </si>
  <si>
    <t>Outside Air Density (kg/m3)</t>
  </si>
  <si>
    <t>Inside Air Density (kg/m3)</t>
  </si>
  <si>
    <t>Volume (m3)</t>
  </si>
  <si>
    <t>Diameter at Equator (m)</t>
  </si>
  <si>
    <t>Diameter at Mouth (m)</t>
  </si>
  <si>
    <t>Envelope Length (m)</t>
  </si>
  <si>
    <t>Bouyancy (kg)</t>
  </si>
  <si>
    <t>Envelope Mass (kg)</t>
  </si>
  <si>
    <t>Maximum TO Mass (kg)</t>
  </si>
  <si>
    <t>Largest UM Balloon</t>
  </si>
  <si>
    <t>N-550</t>
  </si>
  <si>
    <t>Cargo Model</t>
  </si>
  <si>
    <t>SpaceX Model</t>
  </si>
  <si>
    <t>References</t>
  </si>
  <si>
    <t>https://aerotoolbox.com/atmcalc/</t>
  </si>
  <si>
    <t>Accumulated Inflation</t>
  </si>
  <si>
    <t>Price 2017</t>
  </si>
  <si>
    <t>Price 2024</t>
  </si>
  <si>
    <t>Hot Air Ballon Special Envelope 150.000 m3
+Silicon coated nylon 6.6 fabric
+Special big mouth with special openings for air circulation</t>
  </si>
  <si>
    <t xml:space="preserve">
</t>
  </si>
  <si>
    <t>Special burner and oxygen pilot lights and remote control valves</t>
  </si>
  <si>
    <t>Inflation fans</t>
  </si>
  <si>
    <t>Stainless steel propane tanks (40 kg/unit) (reusable)</t>
  </si>
  <si>
    <t>Winch System</t>
  </si>
  <si>
    <t>Flight train (cables, rungs, fasteners, etc), including standard single interface point for 20 ton payload. (Reusable)</t>
  </si>
  <si>
    <t>Engineering Hours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</si>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</sst>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1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165" xfId="0" applyAlignment="1" applyBorder="1" applyFont="1" applyNumberFormat="1">
      <alignment horizontal="right" shrinkToFit="0" vertical="top" wrapText="1"/>
    </xf>
    <xf borderId="2" fillId="0" fontId="3" numFmtId="0" xfId="0" applyAlignment="1" applyBorder="1" applyFont="1">
      <alignment horizontal="right"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vertical="top"/>
    </xf>
    <xf borderId="4" fillId="0" fontId="3" numFmtId="165" xfId="0" applyAlignment="1" applyBorder="1" applyFont="1" applyNumberFormat="1">
      <alignment horizontal="righ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3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erotoolbox.com/atmcalc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21.88"/>
    <col customWidth="1" min="5" max="5" width="20.5"/>
    <col customWidth="1" min="6" max="6" width="21.38"/>
    <col customWidth="1" min="7" max="7" width="20.13"/>
    <col customWidth="1" min="9" max="9" width="18.88"/>
    <col customWidth="1" min="10" max="11" width="16.5"/>
    <col customWidth="1" min="13" max="13" width="15.75"/>
    <col customWidth="1" min="14" max="14" width="18.75"/>
  </cols>
  <sheetData>
    <row r="6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</row>
    <row r="7">
      <c r="B7" s="1" t="s">
        <v>11</v>
      </c>
      <c r="C7" s="1" t="s">
        <v>12</v>
      </c>
      <c r="D7" s="1">
        <v>30.0</v>
      </c>
      <c r="E7" s="1">
        <v>99.0</v>
      </c>
      <c r="F7" s="1">
        <v>1.13</v>
      </c>
      <c r="G7" s="1">
        <v>0.95</v>
      </c>
      <c r="H7" s="1">
        <v>15574.0</v>
      </c>
      <c r="I7" s="1">
        <v>32.1</v>
      </c>
      <c r="J7" s="1">
        <v>5.5</v>
      </c>
      <c r="K7" s="1">
        <v>33.3</v>
      </c>
      <c r="L7" s="2">
        <f>H7*(F7-G7)</f>
        <v>2803.32</v>
      </c>
      <c r="M7" s="1">
        <v>472.0</v>
      </c>
      <c r="N7" s="1">
        <v>5000.0</v>
      </c>
    </row>
    <row r="8">
      <c r="B8" s="1" t="s">
        <v>13</v>
      </c>
    </row>
    <row r="12">
      <c r="B12" s="1" t="s">
        <v>14</v>
      </c>
      <c r="D12" s="2">
        <f t="shared" ref="D12:G12" si="1">D7</f>
        <v>30</v>
      </c>
      <c r="E12" s="2">
        <f t="shared" si="1"/>
        <v>99</v>
      </c>
      <c r="F12" s="2">
        <f t="shared" si="1"/>
        <v>1.13</v>
      </c>
      <c r="G12" s="2">
        <f t="shared" si="1"/>
        <v>0.95</v>
      </c>
      <c r="H12" s="1">
        <v>150000.0</v>
      </c>
      <c r="I12" s="3">
        <f t="shared" ref="I12:K12" si="2">I7*($H12/$H7)^(1/3)</f>
        <v>68.29706835</v>
      </c>
      <c r="J12" s="3">
        <f t="shared" si="2"/>
        <v>11.7019899</v>
      </c>
      <c r="K12" s="3">
        <f t="shared" si="2"/>
        <v>70.85022978</v>
      </c>
      <c r="L12" s="2">
        <f>H12*(F12-G12)</f>
        <v>27000</v>
      </c>
      <c r="M12" s="3">
        <f>M7*($H12/$H7)^(1/3)</f>
        <v>1004.243497</v>
      </c>
      <c r="N12" s="1">
        <v>20000.0</v>
      </c>
    </row>
    <row r="26">
      <c r="B26" s="1" t="s">
        <v>15</v>
      </c>
    </row>
    <row r="27">
      <c r="B27" s="4" t="s">
        <v>16</v>
      </c>
    </row>
  </sheetData>
  <hyperlinks>
    <hyperlink r:id="rId1" ref="B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5"/>
    <col hidden="1" min="3" max="4" width="12.63"/>
    <col customWidth="1" hidden="1" min="5" max="5" width="16.88"/>
    <col customWidth="1" hidden="1" min="6" max="6" width="9.0"/>
  </cols>
  <sheetData>
    <row r="1">
      <c r="E1" s="1" t="s">
        <v>17</v>
      </c>
    </row>
    <row r="2">
      <c r="E2" s="5">
        <v>0.3</v>
      </c>
    </row>
    <row r="4">
      <c r="F4" s="1" t="s">
        <v>18</v>
      </c>
      <c r="G4" s="1" t="s">
        <v>19</v>
      </c>
    </row>
    <row r="5">
      <c r="B5" s="6" t="s">
        <v>20</v>
      </c>
      <c r="C5" s="7" t="s">
        <v>21</v>
      </c>
      <c r="D5" s="8">
        <v>265000.0</v>
      </c>
      <c r="E5" s="9">
        <v>1.0</v>
      </c>
      <c r="F5" s="8">
        <f t="shared" ref="F5:F8" si="1">PRODUCT(D5,E5)</f>
        <v>265000</v>
      </c>
      <c r="G5" s="8">
        <f t="shared" ref="G5:G8" si="2">F5*(1+$E$2)</f>
        <v>344500</v>
      </c>
    </row>
    <row r="6">
      <c r="B6" s="10" t="s">
        <v>22</v>
      </c>
      <c r="C6" s="11"/>
      <c r="D6" s="12">
        <v>38000.0</v>
      </c>
      <c r="E6" s="13">
        <v>1.0</v>
      </c>
      <c r="F6" s="12">
        <f t="shared" si="1"/>
        <v>38000</v>
      </c>
      <c r="G6" s="8">
        <f t="shared" si="2"/>
        <v>49400</v>
      </c>
    </row>
    <row r="7">
      <c r="B7" s="10" t="s">
        <v>23</v>
      </c>
      <c r="C7" s="11"/>
      <c r="D7" s="12">
        <v>3000.0</v>
      </c>
      <c r="E7" s="13">
        <v>8.0</v>
      </c>
      <c r="F7" s="12">
        <f t="shared" si="1"/>
        <v>24000</v>
      </c>
      <c r="G7" s="8">
        <f t="shared" si="2"/>
        <v>31200</v>
      </c>
    </row>
    <row r="8">
      <c r="B8" s="10" t="s">
        <v>24</v>
      </c>
      <c r="C8" s="11"/>
      <c r="D8" s="12">
        <v>2063.0</v>
      </c>
      <c r="E8" s="13">
        <v>32.0</v>
      </c>
      <c r="F8" s="12">
        <f t="shared" si="1"/>
        <v>66016</v>
      </c>
      <c r="G8" s="8">
        <f t="shared" si="2"/>
        <v>85820.8</v>
      </c>
    </row>
    <row r="9">
      <c r="B9" s="14" t="s">
        <v>25</v>
      </c>
      <c r="C9" s="11"/>
      <c r="D9" s="12"/>
      <c r="E9" s="13"/>
      <c r="F9" s="12"/>
      <c r="G9" s="8">
        <v>250000.0</v>
      </c>
    </row>
    <row r="10">
      <c r="B10" s="14" t="s">
        <v>26</v>
      </c>
      <c r="C10" s="11"/>
      <c r="D10" s="12">
        <v>60000.0</v>
      </c>
      <c r="E10" s="13">
        <v>1.0</v>
      </c>
      <c r="F10" s="12">
        <f>PRODUCT(D10,E10)</f>
        <v>60000</v>
      </c>
      <c r="G10" s="8">
        <f>F10*(1+$E$2)</f>
        <v>78000</v>
      </c>
    </row>
    <row r="11">
      <c r="B11" s="14" t="s">
        <v>27</v>
      </c>
      <c r="G11" s="8">
        <v>600000.0</v>
      </c>
    </row>
    <row r="12">
      <c r="B12" s="14" t="s">
        <v>28</v>
      </c>
      <c r="G12" s="8">
        <f>Sum(G5:G11)</f>
        <v>1438920.8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