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ane-Monocopter" sheetId="1" r:id="rId4"/>
    <sheet state="visible" name="Helium-Monocopter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IOAYAmCd9s+kDZITf+RxPd2AHisInn9VLIxQA7X+ZqI="/>
    </ext>
  </extLst>
</workbook>
</file>

<file path=xl/sharedStrings.xml><?xml version="1.0" encoding="utf-8"?>
<sst xmlns="http://schemas.openxmlformats.org/spreadsheetml/2006/main" count="114" uniqueCount="43">
  <si>
    <t>Pax</t>
  </si>
  <si>
    <t>Unit weight (Kg/Pax)</t>
  </si>
  <si>
    <t>Payload (Kg)</t>
  </si>
  <si>
    <t>Reference helicopter</t>
  </si>
  <si>
    <t>Helicopter key specs</t>
  </si>
  <si>
    <t>Eurocpter EC155</t>
  </si>
  <si>
    <t>http://en.wikipedia.org/wiki/Eurocopter_EC_155</t>
  </si>
  <si>
    <t>Empty weight (kg)</t>
  </si>
  <si>
    <t>MTOW (Kg)</t>
  </si>
  <si>
    <t>Quatrirotor case</t>
  </si>
  <si>
    <t>rotor diameter (m)</t>
  </si>
  <si>
    <t>Increased rotor efficiency</t>
  </si>
  <si>
    <t>rotor area m2</t>
  </si>
  <si>
    <t>Rotor lifting capacity (Kg)</t>
  </si>
  <si>
    <t>% of empty weight</t>
  </si>
  <si>
    <t>Airship lifting capacity</t>
  </si>
  <si>
    <t>quatrirotor area m2</t>
  </si>
  <si>
    <t>quatrirotor radius m</t>
  </si>
  <si>
    <t>Airship dimensions</t>
  </si>
  <si>
    <t>Envelope volume (m3)</t>
  </si>
  <si>
    <t>Aux Internal radius (m)</t>
  </si>
  <si>
    <t>Methane density difference kg/m3</t>
  </si>
  <si>
    <t>Torus radius (m)</t>
  </si>
  <si>
    <t>Internal radius (m)</t>
  </si>
  <si>
    <t>Envelope weight</t>
  </si>
  <si>
    <t>Area (m2)</t>
  </si>
  <si>
    <t>Envelope density (Kg/m2)</t>
  </si>
  <si>
    <t>from Hisee</t>
  </si>
  <si>
    <t>Envelope weight (Kg)</t>
  </si>
  <si>
    <t>Equivalent Airship</t>
  </si>
  <si>
    <t>Helistat figures x4</t>
  </si>
  <si>
    <t>Helistat figures</t>
  </si>
  <si>
    <t>Minimum volume (not considering envelope weight)</t>
  </si>
  <si>
    <t>m3</t>
  </si>
  <si>
    <t>Empty weight Helicopter</t>
  </si>
  <si>
    <t>Kg</t>
  </si>
  <si>
    <t>Spherical radius</t>
  </si>
  <si>
    <t>m</t>
  </si>
  <si>
    <t>kg</t>
  </si>
  <si>
    <t>Helicopter lifting capacity</t>
  </si>
  <si>
    <t>NET LIFT</t>
  </si>
  <si>
    <t>Multiplier (original PL)</t>
  </si>
  <si>
    <t>Helium density difference kg/m3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</si>
</sst>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9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18.0"/>
    <col customWidth="1" min="3" max="6" width="10.56"/>
    <col customWidth="1" min="7" max="7" width="18.44"/>
    <col customWidth="1" min="8" max="11" width="10.56"/>
    <col customWidth="1" min="12" max="12" width="19.78"/>
    <col customWidth="1" min="13" max="26" width="10.56"/>
  </cols>
  <sheetData>
    <row r="5">
      <c r="A5" s="1" t="s">
        <v>0</v>
      </c>
      <c r="B5" s="1" t="s">
        <v>1</v>
      </c>
      <c r="C5" s="1" t="s">
        <v>2</v>
      </c>
      <c r="E5" s="1" t="s">
        <v>3</v>
      </c>
      <c r="H5" s="1" t="s">
        <v>4</v>
      </c>
    </row>
    <row r="6">
      <c r="A6" s="1">
        <v>30.0</v>
      </c>
      <c r="B6" s="1">
        <v>150.0</v>
      </c>
      <c r="C6" s="1">
        <f>A6*B6</f>
        <v>4500</v>
      </c>
      <c r="E6" s="1" t="s">
        <v>5</v>
      </c>
      <c r="G6" s="1" t="s">
        <v>2</v>
      </c>
      <c r="H6" s="1">
        <v>2300.0</v>
      </c>
    </row>
    <row r="7">
      <c r="E7" s="1" t="s">
        <v>6</v>
      </c>
      <c r="G7" s="1" t="s">
        <v>7</v>
      </c>
      <c r="H7" s="1">
        <v>2618.0</v>
      </c>
    </row>
    <row r="8">
      <c r="G8" s="1" t="s">
        <v>8</v>
      </c>
      <c r="H8" s="1">
        <v>4920.0</v>
      </c>
    </row>
    <row r="11">
      <c r="L11" s="2" t="s">
        <v>9</v>
      </c>
    </row>
    <row r="12">
      <c r="L12" s="1" t="s">
        <v>10</v>
      </c>
      <c r="M12" s="1">
        <v>12.6</v>
      </c>
    </row>
    <row r="14">
      <c r="A14" s="1" t="s">
        <v>11</v>
      </c>
      <c r="B14" s="1">
        <v>1.2</v>
      </c>
      <c r="L14" s="1" t="s">
        <v>12</v>
      </c>
      <c r="M14" s="1">
        <f>PI()*(M12/2)^2</f>
        <v>124.6898124</v>
      </c>
    </row>
    <row r="15">
      <c r="A15" s="1" t="s">
        <v>13</v>
      </c>
      <c r="B15" s="1">
        <f>B14*H8</f>
        <v>5904</v>
      </c>
    </row>
    <row r="16">
      <c r="D16" s="1" t="s">
        <v>14</v>
      </c>
    </row>
    <row r="17">
      <c r="A17" s="1" t="s">
        <v>15</v>
      </c>
      <c r="B17" s="1">
        <f>D17*H7</f>
        <v>2356.2</v>
      </c>
      <c r="D17" s="3">
        <v>0.9</v>
      </c>
      <c r="L17" s="1" t="s">
        <v>16</v>
      </c>
      <c r="M17" s="1">
        <f>M14/4</f>
        <v>31.17245311</v>
      </c>
    </row>
    <row r="18">
      <c r="L18" s="1" t="s">
        <v>17</v>
      </c>
      <c r="M18" s="1">
        <f>(M17/PI())^(1/2)</f>
        <v>3.15</v>
      </c>
    </row>
    <row r="20">
      <c r="A20" s="2" t="s">
        <v>18</v>
      </c>
      <c r="C20" s="4"/>
      <c r="L20" s="2" t="s">
        <v>18</v>
      </c>
    </row>
    <row r="21" ht="15.75" customHeight="1">
      <c r="A21" s="5" t="s">
        <v>19</v>
      </c>
      <c r="B21" s="6">
        <f>B17/E23</f>
        <v>4387.709497</v>
      </c>
      <c r="C21" s="4"/>
      <c r="L21" s="5" t="s">
        <v>19</v>
      </c>
      <c r="M21" s="1">
        <f>B17/E23</f>
        <v>4387.709497</v>
      </c>
    </row>
    <row r="22" ht="15.75" customHeight="1">
      <c r="A22" s="1" t="s">
        <v>20</v>
      </c>
      <c r="B22" s="1">
        <f>M12/2*1.1</f>
        <v>6.93</v>
      </c>
      <c r="E22" s="7" t="s">
        <v>21</v>
      </c>
      <c r="L22" s="1" t="s">
        <v>20</v>
      </c>
      <c r="M22" s="1">
        <f>M18/2*1.1</f>
        <v>1.7325</v>
      </c>
    </row>
    <row r="23" ht="15.75" customHeight="1">
      <c r="A23" s="1" t="s">
        <v>22</v>
      </c>
      <c r="B23" s="1">
        <v>4.4</v>
      </c>
      <c r="E23" s="1">
        <f>1.225-0.688</f>
        <v>0.537</v>
      </c>
      <c r="L23" s="1" t="s">
        <v>22</v>
      </c>
      <c r="M23" s="1">
        <v>3.0</v>
      </c>
    </row>
    <row r="24" ht="15.75" customHeight="1">
      <c r="A24" s="1" t="s">
        <v>23</v>
      </c>
      <c r="B24" s="1">
        <f>B17/(2*PI()^2*E23*B23^2)-B23</f>
        <v>7.081609497</v>
      </c>
      <c r="L24" s="1" t="s">
        <v>23</v>
      </c>
      <c r="M24" s="1">
        <f>B17/4/(2*PI()^2*E23*M23^2)-M23</f>
        <v>3.174554441</v>
      </c>
    </row>
    <row r="25" ht="15.75" customHeight="1"/>
    <row r="26" ht="15.75" customHeight="1"/>
    <row r="27" ht="15.75" customHeight="1"/>
    <row r="28" ht="15.75" customHeight="1">
      <c r="A28" s="2" t="s">
        <v>24</v>
      </c>
      <c r="L28" s="2" t="s">
        <v>24</v>
      </c>
    </row>
    <row r="29" ht="15.75" customHeight="1">
      <c r="A29" s="1" t="s">
        <v>25</v>
      </c>
      <c r="B29" s="1">
        <f>4*PI()^2*B23*(B23+B24)</f>
        <v>1994.413408</v>
      </c>
      <c r="L29" s="1" t="s">
        <v>25</v>
      </c>
      <c r="M29" s="1">
        <f>4*PI()^2*M23*(M23+M24)*4</f>
        <v>2925.139665</v>
      </c>
    </row>
    <row r="30" ht="15.75" customHeight="1">
      <c r="A30" s="1" t="s">
        <v>26</v>
      </c>
      <c r="B30" s="1">
        <v>0.019</v>
      </c>
      <c r="D30" s="1" t="s">
        <v>27</v>
      </c>
      <c r="L30" s="1" t="s">
        <v>26</v>
      </c>
      <c r="M30" s="1">
        <v>0.019</v>
      </c>
    </row>
    <row r="31" ht="15.75" customHeight="1">
      <c r="A31" s="1" t="s">
        <v>28</v>
      </c>
      <c r="B31" s="1">
        <f>B29*B30</f>
        <v>37.89385475</v>
      </c>
      <c r="L31" s="1" t="s">
        <v>28</v>
      </c>
      <c r="M31" s="1">
        <f>M29*M30</f>
        <v>55.57765363</v>
      </c>
    </row>
    <row r="32" ht="15.75" customHeight="1"/>
    <row r="33" ht="15.75" customHeight="1"/>
    <row r="34" ht="15.75" customHeight="1"/>
    <row r="35" ht="15.75" customHeight="1"/>
    <row r="36" ht="15.75" customHeight="1">
      <c r="G36" s="2" t="s">
        <v>29</v>
      </c>
      <c r="L36" s="2" t="s">
        <v>30</v>
      </c>
    </row>
    <row r="37" ht="15.75" customHeight="1">
      <c r="A37" s="2" t="s">
        <v>31</v>
      </c>
      <c r="G37" s="1" t="s">
        <v>32</v>
      </c>
      <c r="H37" s="1" t="s">
        <v>33</v>
      </c>
      <c r="I37" s="1">
        <f>C42/E23</f>
        <v>10436.32429</v>
      </c>
      <c r="L37" s="1" t="s">
        <v>34</v>
      </c>
      <c r="M37" s="1" t="s">
        <v>35</v>
      </c>
      <c r="N37" s="1">
        <f>H7</f>
        <v>2618</v>
      </c>
    </row>
    <row r="38" ht="15.75" customHeight="1">
      <c r="A38" s="1" t="s">
        <v>34</v>
      </c>
      <c r="B38" s="1" t="s">
        <v>35</v>
      </c>
      <c r="C38" s="1">
        <f>H7</f>
        <v>2618</v>
      </c>
      <c r="G38" s="1" t="s">
        <v>36</v>
      </c>
      <c r="H38" s="1" t="s">
        <v>37</v>
      </c>
      <c r="I38" s="1">
        <f>(I37*3/4/PI())^(1/3)</f>
        <v>13.55666878</v>
      </c>
      <c r="L38" s="1" t="s">
        <v>24</v>
      </c>
      <c r="M38" s="1" t="s">
        <v>35</v>
      </c>
      <c r="N38" s="1">
        <f>M31</f>
        <v>55.57765363</v>
      </c>
    </row>
    <row r="39" ht="15.75" customHeight="1">
      <c r="A39" s="1" t="s">
        <v>24</v>
      </c>
      <c r="B39" s="1" t="s">
        <v>35</v>
      </c>
      <c r="C39" s="1">
        <f>B31</f>
        <v>37.89385475</v>
      </c>
      <c r="L39" s="1" t="s">
        <v>15</v>
      </c>
      <c r="M39" s="1" t="s">
        <v>38</v>
      </c>
      <c r="N39" s="1">
        <f>B17</f>
        <v>2356.2</v>
      </c>
    </row>
    <row r="40" ht="15.75" customHeight="1">
      <c r="A40" s="1" t="s">
        <v>15</v>
      </c>
      <c r="B40" s="1" t="s">
        <v>38</v>
      </c>
      <c r="C40" s="1">
        <f>B17</f>
        <v>2356.2</v>
      </c>
      <c r="L40" s="1" t="s">
        <v>39</v>
      </c>
      <c r="M40" s="1" t="s">
        <v>35</v>
      </c>
      <c r="N40" s="1">
        <f>B15</f>
        <v>5904</v>
      </c>
    </row>
    <row r="41" ht="15.75" customHeight="1">
      <c r="A41" s="1" t="s">
        <v>39</v>
      </c>
      <c r="B41" s="1" t="s">
        <v>35</v>
      </c>
      <c r="C41" s="1">
        <f>B15</f>
        <v>5904</v>
      </c>
      <c r="L41" s="1" t="s">
        <v>40</v>
      </c>
      <c r="M41" s="1" t="s">
        <v>35</v>
      </c>
      <c r="N41" s="1">
        <f>N40+N39-N38-N37</f>
        <v>5586.622346</v>
      </c>
    </row>
    <row r="42" ht="15.75" customHeight="1">
      <c r="A42" s="1" t="s">
        <v>40</v>
      </c>
      <c r="B42" s="1" t="s">
        <v>35</v>
      </c>
      <c r="C42" s="1">
        <f>C41+C40-C39-C38</f>
        <v>5604.306145</v>
      </c>
      <c r="L42" s="1" t="s">
        <v>41</v>
      </c>
      <c r="M42" s="1" t="s">
        <v>35</v>
      </c>
      <c r="N42" s="1">
        <f>N41/H6</f>
        <v>2.428966238</v>
      </c>
    </row>
    <row r="43" ht="15.75" customHeight="1">
      <c r="A43" s="1" t="s">
        <v>41</v>
      </c>
      <c r="B43" s="1" t="s">
        <v>35</v>
      </c>
      <c r="C43" s="1">
        <f>C42/H6</f>
        <v>2.436654846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L11:M11"/>
    <mergeCell ref="A20:B20"/>
    <mergeCell ref="L20:M20"/>
    <mergeCell ref="A28:B28"/>
    <mergeCell ref="L28:M28"/>
    <mergeCell ref="G36:I36"/>
    <mergeCell ref="L36:N36"/>
    <mergeCell ref="A37:C3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18.0"/>
    <col customWidth="1" min="3" max="6" width="10.56"/>
    <col customWidth="1" min="7" max="7" width="15.0"/>
    <col customWidth="1" min="8" max="26" width="10.56"/>
  </cols>
  <sheetData>
    <row r="5">
      <c r="A5" s="1" t="s">
        <v>0</v>
      </c>
      <c r="B5" s="1" t="s">
        <v>1</v>
      </c>
      <c r="C5" s="1" t="s">
        <v>2</v>
      </c>
      <c r="E5" s="1" t="s">
        <v>3</v>
      </c>
      <c r="H5" s="1" t="s">
        <v>4</v>
      </c>
    </row>
    <row r="6">
      <c r="A6" s="1">
        <v>30.0</v>
      </c>
      <c r="B6" s="1">
        <v>150.0</v>
      </c>
      <c r="C6" s="1">
        <f>A6*B6</f>
        <v>4500</v>
      </c>
      <c r="E6" s="1" t="s">
        <v>5</v>
      </c>
      <c r="G6" s="1" t="s">
        <v>2</v>
      </c>
      <c r="H6" s="1">
        <v>2300.0</v>
      </c>
    </row>
    <row r="7">
      <c r="E7" s="1" t="s">
        <v>6</v>
      </c>
      <c r="G7" s="1" t="s">
        <v>7</v>
      </c>
      <c r="H7" s="1">
        <v>2618.0</v>
      </c>
    </row>
    <row r="8">
      <c r="G8" s="1" t="s">
        <v>8</v>
      </c>
      <c r="H8" s="1">
        <v>4920.0</v>
      </c>
    </row>
    <row r="10">
      <c r="G10" s="1" t="s">
        <v>10</v>
      </c>
      <c r="H10" s="1">
        <v>12.6</v>
      </c>
    </row>
    <row r="14">
      <c r="A14" s="1" t="s">
        <v>11</v>
      </c>
      <c r="B14" s="1">
        <v>1.2</v>
      </c>
    </row>
    <row r="15">
      <c r="A15" s="1" t="s">
        <v>13</v>
      </c>
      <c r="B15" s="1">
        <f>B14*H8</f>
        <v>5904</v>
      </c>
    </row>
    <row r="16">
      <c r="D16" s="1" t="s">
        <v>14</v>
      </c>
    </row>
    <row r="17">
      <c r="A17" s="1" t="s">
        <v>15</v>
      </c>
      <c r="B17" s="1">
        <f>D17*H7</f>
        <v>2356.2</v>
      </c>
      <c r="D17" s="3">
        <v>0.9</v>
      </c>
    </row>
    <row r="20">
      <c r="A20" s="2" t="s">
        <v>18</v>
      </c>
      <c r="C20" s="4"/>
    </row>
    <row r="21" ht="15.75" customHeight="1">
      <c r="A21" s="5" t="s">
        <v>19</v>
      </c>
      <c r="B21" s="6">
        <f>B17/E23</f>
        <v>2251.720183</v>
      </c>
      <c r="C21" s="4"/>
    </row>
    <row r="22" ht="15.75" customHeight="1">
      <c r="A22" s="1" t="s">
        <v>20</v>
      </c>
      <c r="B22" s="1">
        <f>H10/2*1.1</f>
        <v>6.93</v>
      </c>
      <c r="E22" s="1" t="s">
        <v>42</v>
      </c>
    </row>
    <row r="23" ht="15.75" customHeight="1">
      <c r="A23" s="1" t="s">
        <v>22</v>
      </c>
      <c r="B23" s="1">
        <v>3.3</v>
      </c>
      <c r="E23" s="1">
        <f>1.225-0.1786</f>
        <v>1.0464</v>
      </c>
    </row>
    <row r="24" ht="15.75" customHeight="1">
      <c r="A24" s="1" t="s">
        <v>23</v>
      </c>
      <c r="B24" s="1">
        <f>B17/(2*PI()^2*E23*B23^2)-B23</f>
        <v>7.175066769</v>
      </c>
    </row>
    <row r="25" ht="15.75" customHeight="1"/>
    <row r="26" ht="15.75" customHeight="1"/>
    <row r="27" ht="15.75" customHeight="1"/>
    <row r="28" ht="15.75" customHeight="1">
      <c r="A28" s="2" t="s">
        <v>24</v>
      </c>
    </row>
    <row r="29" ht="15.75" customHeight="1">
      <c r="A29" s="1" t="s">
        <v>25</v>
      </c>
      <c r="B29" s="1">
        <f>4*PI()^2*B23*(B23+B24)</f>
        <v>1364.678899</v>
      </c>
    </row>
    <row r="30" ht="15.75" customHeight="1">
      <c r="A30" s="1" t="s">
        <v>26</v>
      </c>
      <c r="B30" s="1">
        <v>0.019</v>
      </c>
      <c r="D30" s="1" t="s">
        <v>27</v>
      </c>
    </row>
    <row r="31" ht="15.75" customHeight="1">
      <c r="A31" s="1" t="s">
        <v>28</v>
      </c>
      <c r="B31" s="1">
        <f>B29*B30</f>
        <v>25.92889908</v>
      </c>
    </row>
    <row r="32" ht="15.75" customHeight="1"/>
    <row r="33" ht="15.75" customHeight="1"/>
    <row r="34" ht="15.75" customHeight="1"/>
    <row r="35" ht="15.75" customHeight="1"/>
    <row r="36" ht="15.75" customHeight="1">
      <c r="G36" s="2" t="s">
        <v>29</v>
      </c>
    </row>
    <row r="37" ht="15.75" customHeight="1">
      <c r="A37" s="2" t="s">
        <v>31</v>
      </c>
      <c r="G37" s="1" t="s">
        <v>32</v>
      </c>
      <c r="H37" s="1" t="s">
        <v>33</v>
      </c>
      <c r="I37" s="1">
        <f>C42/E23</f>
        <v>5367.231557</v>
      </c>
    </row>
    <row r="38" ht="15.75" customHeight="1">
      <c r="A38" s="1" t="s">
        <v>34</v>
      </c>
      <c r="B38" s="1" t="s">
        <v>35</v>
      </c>
      <c r="C38" s="1">
        <f>H7</f>
        <v>2618</v>
      </c>
      <c r="G38" s="1" t="s">
        <v>36</v>
      </c>
      <c r="H38" s="1" t="s">
        <v>37</v>
      </c>
      <c r="I38" s="1">
        <f>(I37*3/4/PI())^(1/3)</f>
        <v>10.86143584</v>
      </c>
    </row>
    <row r="39" ht="15.75" customHeight="1">
      <c r="A39" s="1" t="s">
        <v>24</v>
      </c>
      <c r="B39" s="1" t="s">
        <v>35</v>
      </c>
      <c r="C39" s="1">
        <f>B31</f>
        <v>25.92889908</v>
      </c>
    </row>
    <row r="40" ht="15.75" customHeight="1">
      <c r="A40" s="1" t="s">
        <v>15</v>
      </c>
      <c r="B40" s="1" t="s">
        <v>38</v>
      </c>
      <c r="C40" s="1">
        <f>B17</f>
        <v>2356.2</v>
      </c>
    </row>
    <row r="41" ht="15.75" customHeight="1">
      <c r="A41" s="1" t="s">
        <v>39</v>
      </c>
      <c r="B41" s="1" t="s">
        <v>35</v>
      </c>
      <c r="C41" s="1">
        <f>B15</f>
        <v>5904</v>
      </c>
    </row>
    <row r="42" ht="15.75" customHeight="1">
      <c r="A42" s="1" t="s">
        <v>40</v>
      </c>
      <c r="B42" s="1" t="s">
        <v>35</v>
      </c>
      <c r="C42" s="1">
        <f>C41+C40-C39-C38</f>
        <v>5616.271101</v>
      </c>
    </row>
    <row r="43" ht="15.75" customHeight="1">
      <c r="A43" s="1" t="s">
        <v>41</v>
      </c>
      <c r="B43" s="1" t="s">
        <v>35</v>
      </c>
      <c r="C43" s="1">
        <f>C42/H6</f>
        <v>2.441857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0:B20"/>
    <mergeCell ref="A28:B28"/>
    <mergeCell ref="G36:I36"/>
    <mergeCell ref="A37:C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2014-04-28T11:25:48Z</dcterms:created>
  <dc:creator>Lluc Palerm</dc:creator>
</cp:coreProperties>
</file>